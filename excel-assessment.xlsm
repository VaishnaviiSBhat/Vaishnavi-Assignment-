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MapUp-Data-Assessment-F\"/>
    </mc:Choice>
  </mc:AlternateContent>
  <xr:revisionPtr revIDLastSave="0" documentId="13_ncr:1_{E55C457A-2D83-46D4-8197-47708FDCB0B6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 a="1"/>
  <c r="C22" i="19" s="1"/>
  <c r="C5" i="15"/>
  <c r="H41" i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D52" i="16"/>
  <c r="D18" i="16"/>
  <c r="D26" i="16"/>
  <c r="D43" i="16"/>
  <c r="D36" i="16"/>
  <c r="D29" i="16"/>
  <c r="D34" i="16"/>
  <c r="D31" i="16"/>
  <c r="D53" i="16"/>
  <c r="D35" i="16"/>
  <c r="D47" i="16"/>
  <c r="D39" i="16"/>
  <c r="D25" i="16"/>
  <c r="D32" i="16"/>
  <c r="D24" i="16"/>
  <c r="D19" i="16"/>
  <c r="D49" i="16"/>
  <c r="D20" i="16"/>
  <c r="D17" i="16"/>
  <c r="D48" i="16"/>
  <c r="D46" i="16"/>
  <c r="D41" i="16"/>
  <c r="D38" i="16"/>
  <c r="D30" i="16"/>
  <c r="D51" i="16"/>
  <c r="D37" i="16"/>
  <c r="D54" i="16"/>
  <c r="D28" i="16"/>
  <c r="D27" i="16"/>
  <c r="D33" i="16"/>
  <c r="D40" i="16"/>
  <c r="D16" i="16"/>
  <c r="D21" i="16"/>
  <c r="D50" i="16"/>
  <c r="D44" i="16"/>
  <c r="D42" i="16"/>
  <c r="D45" i="16"/>
  <c r="D23" i="16"/>
  <c r="D22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<sst xmlns="http://schemas.openxmlformats.org/spreadsheetml/2006/main" count="330" uniqueCount="185">
  <si>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</si>
  <si>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</si>
  <si>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</si>
  <si>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</si>
  <si>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</si>
  <si>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</si>
  <si>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</si>
  <si>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</si>
  <si>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</si>
  <si>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</si>
  <si>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</si>
  <si>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</si>
  <si>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</si>
  <si>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</si>
  <si>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</si>
  <si>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</si>
  <si>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</si>
  <si>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</si>
  <si>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</si>
  <si>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</si>
  <si>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</si>
  <si>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</si>
  <si>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</si>
  <si>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</si>
  <si>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</si>
  <si>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</si>
  <si>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</si>
  <si>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</si>
  <si>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</si>
  <si>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</si>
  <si>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</si>
  <si>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</si>
  <si>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</si>
  <si>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</si>
  <si>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</si>
  <si>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</si>
  <si>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</si>
  <si>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</si>
  <si>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</si>
  <si>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</si>
  <si>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</si>
  <si>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</si>
  <si>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</si>
  <si>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</si>
  <si>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</si>
  <si>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</si>
  <si>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</si>
  <si>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</si>
  <si>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</si>
  <si>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</si>
  <si>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</si>
  <si>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</si>
  <si>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</si>
  <si>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</si>
  <si>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</si>
  <si>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</si>
  <si>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</si>
  <si>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</si>
  <si>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</si>
  <si>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</si>
  <si>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</si>
  <si>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</si>
  <si>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</si>
  <si>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</si>
  <si>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</si>
  <si>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</si>
  <si>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</si>
  <si>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</si>
  <si>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</si>
  <si>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</si>
  <si>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</si>
  <si>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</si>
  <si>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</si>
  <si>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</si>
  <si>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</si>
  <si>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</si>
  <si>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</si>
  <si>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</si>
  <si>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</si>
  <si>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</si>
  <si>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</si>
  <si>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</si>
  <si>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</si>
  <si>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</si>
  <si>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</si>
  <si>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</si>
  <si>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</si>
  <si>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</si>
  <si>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</si>
  <si>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</si>
  <si>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</si>
  <si>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</si>
  <si>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</si>
  <si>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</si>
  <si>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</si>
  <si>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</si>
  <si>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</si>
  <si>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</si>
  <si>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</si>
  <si>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</si>
  <si>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</si>
  <si>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</si>
  <si>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</si>
  <si>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</si>
  <si>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</si>
  <si>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</si>
  <si>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</si>
  <si>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</si>
  <si>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</si>
  <si>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</si>
  <si>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</si>
  <si>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</si>
  <si>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</si>
  <si>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</si>
  <si>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</si>
  <si>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</si>
  <si>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</si>
  <si>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</si>
  <si>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</si>
  <si>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</si>
  <si>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</si>
  <si>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</si>
  <si>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</si>
  <si>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</si>
  <si>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</si>
  <si>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</si>
  <si>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</si>
  <si>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</si>
  <si>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</si>
  <si>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</si>
  <si>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</si>
  <si>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</si>
  <si>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</si>
  <si>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</si>
  <si>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</si>
  <si>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</si>
  <si>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</si>
  <si>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</si>
  <si>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</si>
  <si>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</si>
  <si>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</si>
  <si>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</si>
  <si>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</si>
  <si>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</si>
  <si>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</si>
  <si>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</si>
  <si>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</si>
  <si>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</si>
  <si>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</si>
  <si>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</si>
  <si>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</si>
  <si>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</si>
  <si>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</si>
  <si>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</si>
  <si>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</si>
  <si>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</si>
  <si>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</si>
  <si>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</si>
  <si>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</si>
  <si>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</si>
  <si>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</si>
  <si>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</si>
  <si>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</si>
  <si>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</si>
  <si>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</si>
  <si>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</si>
  <si>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</si>
  <si>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</si>
  <si>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</si>
  <si>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</si>
  <si>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</si>
  <si>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</si>
  <si>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</si>
  <si>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</si>
  <si>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</si>
  <si>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</si>
  <si>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</si>
  <si>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sum=</t>
  </si>
  <si>
    <r>
      <t>IF</t>
    </r>
    <r>
      <rPr>
        <sz val="8"/>
        <color rgb="FF374151"/>
        <rFont val="Segoe UI"/>
        <family val="2"/>
      </rPr>
      <t xml:space="preserve">, </t>
    </r>
    <r>
      <rPr>
        <sz val="8.75"/>
        <color rgb="FF000000"/>
        <rFont val="Courier New"/>
        <family val="3"/>
      </rPr>
      <t>SUMIF</t>
    </r>
    <r>
      <rPr>
        <sz val="8"/>
        <color rgb="FF374151"/>
        <rFont val="Segoe UI"/>
        <family val="2"/>
      </rPr>
      <t xml:space="preserve">, or </t>
    </r>
    <r>
      <rPr>
        <sz val="8.75"/>
        <color rgb="FF000000"/>
        <rFont val="Courier New"/>
        <family val="3"/>
      </rPr>
      <t>IFERROR</t>
    </r>
    <r>
      <rPr>
        <sz val="8"/>
        <color rgb="FF374151"/>
        <rFont val="Segoe UI"/>
        <family val="2"/>
      </rPr>
      <t xml:space="preserve"> </t>
    </r>
  </si>
  <si>
    <t>"text manipulation" or "text extraction."</t>
  </si>
  <si>
    <r>
      <t>MID</t>
    </r>
    <r>
      <rPr>
        <sz val="8"/>
        <color rgb="FF374151"/>
        <rFont val="Segoe UI"/>
        <family val="2"/>
      </rPr>
      <t xml:space="preserve"> function</t>
    </r>
    <r>
      <rPr>
        <sz val="8"/>
        <color rgb="FF374151"/>
        <rFont val="Segoe UI"/>
        <family val="2"/>
      </rPr>
      <t>: Extracts a specific number of characters from a text string, starting at the position you specify.</t>
    </r>
  </si>
  <si>
    <r>
      <t>FIND</t>
    </r>
    <r>
      <rPr>
        <sz val="8"/>
        <color rgb="FF374151"/>
        <rFont val="Segoe UI"/>
        <family val="2"/>
      </rPr>
      <t xml:space="preserve"> function</t>
    </r>
    <r>
      <rPr>
        <sz val="8"/>
        <color rgb="FF374151"/>
        <rFont val="Segoe UI"/>
        <family val="2"/>
      </rPr>
      <t>: Finds the position of a specific character within a text string.</t>
    </r>
  </si>
  <si>
    <r>
      <t xml:space="preserve"> the functionality used for conditional substitution, such as replacing </t>
    </r>
    <r>
      <rPr>
        <sz val="8.75"/>
        <color rgb="FF000000"/>
        <rFont val="Courier New"/>
        <family val="3"/>
      </rPr>
      <t>#N/A</t>
    </r>
    <r>
      <rPr>
        <sz val="8"/>
        <color rgb="FF374151"/>
        <rFont val="Segoe UI"/>
        <family val="2"/>
      </rPr>
      <t xml:space="preserve"> with another value, is achieved through the application of the </t>
    </r>
    <r>
      <rPr>
        <sz val="8.75"/>
        <color rgb="FF000000"/>
        <rFont val="Courier New"/>
        <family val="3"/>
      </rPr>
      <t>IF</t>
    </r>
    <r>
      <rPr>
        <sz val="8"/>
        <color rgb="FF374151"/>
        <rFont val="Segoe UI"/>
        <family val="2"/>
      </rPr>
      <t xml:space="preserve"> function to check a condition and assign a specific value accordingly. </t>
    </r>
  </si>
  <si>
    <t>Double VLOOKUP</t>
  </si>
  <si>
    <t>Double VLOOKUP is a nested Excel formula where one VLOOKUP function is used within another, allowing you to search for a value in a table based on two criteria, providing a more specific and precise lookup.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</si>
</sst>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color rgb="FF000000"/>
      <name val="Courier New"/>
      <family val="3"/>
    </font>
    <font>
      <sz val="8"/>
      <color rgb="FF374151"/>
      <name val="Segoe UI"/>
      <family val="2"/>
    </font>
    <font>
      <sz val="8"/>
      <color rgb="FF374151"/>
      <name val="Segoe UI"/>
      <family val="2"/>
    </font>
    <font>
      <sz val="8.75"/>
      <color rgb="FF374151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0" fontId="8" fillId="0" borderId="0" xfId="0" applyFont="1" applyAlignment="1">
      <alignment horizontal="center"/>
    </xf>
    <xf numFmtId="0" fontId="18" fillId="0" borderId="0" xfId="0" applyFont="1"/>
    <xf numFmtId="0" fontId="19" fillId="0" borderId="0" xfId="0" applyFont="1"/>
    <xf numFmtId="0" fontId="21" fillId="0" borderId="0" xfId="0" applyFont="1" applyAlignment="1">
      <alignment horizontal="left" vertical="center" inden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1" sqref="B11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4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J1" zoomScaleNormal="100" workbookViewId="0">
      <pane ySplit="1" topLeftCell="A2" activePane="bottomLeft" state="frozen"/>
      <selection pane="bottomLeft" activeCell="A2" sqref="A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2" customWidth="1"/>
    <col min="5" max="5" width="9.19921875" style="1" bestFit="1" customWidth="1"/>
    <col min="6" max="6" width="10.3984375" style="22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5">
      <c r="A4" s="7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1" spans="1:24" x14ac:dyDescent="0.35">
      <c r="G41" s="1" t="s">
        <v>177</v>
      </c>
      <c r="H41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D3" sqref="D3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2">
        <f>SUMIF(H2:H100, 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30" sqref="I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164</v>
      </c>
    </row>
    <row r="2" spans="1:7" s="39" customFormat="1" ht="21" x14ac:dyDescent="0.5">
      <c r="B2" s="39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6" t="s">
        <v>162</v>
      </c>
      <c r="B4" s="1"/>
      <c r="C4" s="1"/>
      <c r="D4" s="1"/>
      <c r="E4" s="1"/>
      <c r="F4" s="1"/>
      <c r="G4" s="1"/>
    </row>
    <row r="5" spans="1:7" ht="14.5" x14ac:dyDescent="0.3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5" x14ac:dyDescent="0.35">
      <c r="A6" s="7" t="s">
        <v>40</v>
      </c>
      <c r="B6" s="10">
        <f>VLOOKUP(A6,Dataset!$A$2:$X$40,7,FALSE)</f>
        <v>2.7</v>
      </c>
      <c r="C6" s="10">
        <f>VLOOKUP(A6,Dataset!$A$2:$X$40,14,FALSE)</f>
        <v>7.6</v>
      </c>
      <c r="D6" s="10">
        <f>VLOOKUP(A6,Dataset!$A$2:$X$40,18,FALSE)</f>
        <v>4.2</v>
      </c>
      <c r="E6" s="10">
        <f>VLOOKUP(A6,Dataset!$A$2:$X$40,20,FALSE)</f>
        <v>8.9</v>
      </c>
      <c r="F6" s="10">
        <f>VLOOKUP(A6,Dataset!$A$2:$X$40,22,FALSE)</f>
        <v>4.2</v>
      </c>
    </row>
    <row r="7" spans="1:7" ht="14.5" x14ac:dyDescent="0.35">
      <c r="A7" s="7" t="s">
        <v>4</v>
      </c>
      <c r="B7" s="10">
        <f>VLOOKUP(A7,Dataset!$A$2:$X$40,7,FALSE)</f>
        <v>2.7</v>
      </c>
      <c r="C7" s="10">
        <f>VLOOKUP(A7,Dataset!$A$2:$X$40,14,FALSE)</f>
        <v>7.6</v>
      </c>
      <c r="D7" s="10">
        <f>VLOOKUP(A7,Dataset!$A$2:$X$40,18,FALSE)</f>
        <v>4.2</v>
      </c>
      <c r="E7" s="10">
        <f>VLOOKUP(A7,Dataset!$A$2:$X$40,20,FALSE)</f>
        <v>8.9</v>
      </c>
      <c r="F7" s="10">
        <f>VLOOKUP(A7,Dataset!$A$2:$X$40,22,FALSE)</f>
        <v>4.2</v>
      </c>
    </row>
    <row r="8" spans="1:7" ht="14.5" x14ac:dyDescent="0.35">
      <c r="A8" s="7" t="s">
        <v>7</v>
      </c>
      <c r="B8" s="10">
        <f>VLOOKUP(A8,Dataset!$A$2:$X$40,7,FALSE)</f>
        <v>3.6</v>
      </c>
      <c r="C8" s="10">
        <f>VLOOKUP(A8,Dataset!$A$2:$X$40,14,FALSE)</f>
        <v>11.1</v>
      </c>
      <c r="D8" s="10">
        <f>VLOOKUP(A8,Dataset!$A$2:$X$40,18,FALSE)</f>
        <v>5.8</v>
      </c>
      <c r="E8" s="10">
        <f>VLOOKUP(A8,Dataset!$A$2:$X$40,20,FALSE)</f>
        <v>12.2</v>
      </c>
      <c r="F8" s="10">
        <f>VLOOKUP(A8,Dataset!$A$2:$X$40,22,FALSE)</f>
        <v>5.8</v>
      </c>
    </row>
    <row r="9" spans="1:7" ht="14.5" x14ac:dyDescent="0.35">
      <c r="A9" s="7" t="s">
        <v>8</v>
      </c>
      <c r="B9" s="10">
        <f>VLOOKUP(A9,Dataset!$A$2:$X$40,7,FALSE)</f>
        <v>4.9000000000000004</v>
      </c>
      <c r="C9" s="10">
        <f>VLOOKUP(A9,Dataset!$A$2:$X$40,14,FALSE)</f>
        <v>13.3</v>
      </c>
      <c r="D9" s="10">
        <f>VLOOKUP(A9,Dataset!$A$2:$X$40,18,FALSE)</f>
        <v>8.1</v>
      </c>
      <c r="E9" s="10">
        <f>VLOOKUP(A9,Dataset!$A$2:$X$40,20,FALSE)</f>
        <v>17</v>
      </c>
      <c r="F9" s="10">
        <f>VLOOKUP(A9,Dataset!$A$2:$X$40,22,FALSE)</f>
        <v>8.1</v>
      </c>
    </row>
    <row r="10" spans="1:7" ht="14.5" x14ac:dyDescent="0.35">
      <c r="A10" s="7" t="s">
        <v>11</v>
      </c>
      <c r="B10" s="10">
        <f>VLOOKUP(A10,Dataset!$A$2:$X$40,7,FALSE)</f>
        <v>9.4</v>
      </c>
      <c r="C10" s="10">
        <f>VLOOKUP(A10,Dataset!$A$2:$X$40,14,FALSE)</f>
        <v>28.3</v>
      </c>
      <c r="D10" s="10">
        <f>VLOOKUP(A10,Dataset!$A$2:$X$40,18,FALSE)</f>
        <v>16.100000000000001</v>
      </c>
      <c r="E10" s="10">
        <f>VLOOKUP(A10,Dataset!$A$2:$X$40,20,FALSE)</f>
        <v>32.799999999999997</v>
      </c>
      <c r="F10" s="10">
        <f>VLOOKUP(A10,Dataset!$A$2:$X$40,22,FALSE)</f>
        <v>16.100000000000001</v>
      </c>
    </row>
    <row r="11" spans="1:7" ht="14.5" x14ac:dyDescent="0.35">
      <c r="A11" s="7" t="s">
        <v>12</v>
      </c>
      <c r="B11" s="10">
        <f>VLOOKUP(A11,Dataset!$A$2:$X$40,7,FALSE)</f>
        <v>11.6</v>
      </c>
      <c r="C11" s="10">
        <f>VLOOKUP(A11,Dataset!$A$2:$X$40,14,FALSE)</f>
        <v>35.200000000000003</v>
      </c>
      <c r="D11" s="10">
        <f>VLOOKUP(A11,Dataset!$A$2:$X$40,18,FALSE)</f>
        <v>21.3</v>
      </c>
      <c r="E11" s="10">
        <f>VLOOKUP(A11,Dataset!$A$2:$X$40,20,FALSE)</f>
        <v>43</v>
      </c>
      <c r="F11" s="10">
        <f>VLOOKUP(A11,Dataset!$A$2:$X$40,22,FALSE)</f>
        <v>21.3</v>
      </c>
    </row>
    <row r="12" spans="1:7" ht="14.5" x14ac:dyDescent="0.35">
      <c r="A12" s="7" t="s">
        <v>14</v>
      </c>
      <c r="B12" s="10">
        <f>VLOOKUP(A12,Dataset!$A$2:$X$40,7,FALSE)</f>
        <v>18.399999999999999</v>
      </c>
      <c r="C12" s="10">
        <f>VLOOKUP(A12,Dataset!$A$2:$X$40,14,FALSE)</f>
        <v>55.6</v>
      </c>
      <c r="D12" s="10">
        <f>VLOOKUP(A12,Dataset!$A$2:$X$40,18,FALSE)</f>
        <v>33.799999999999997</v>
      </c>
      <c r="E12" s="10">
        <f>VLOOKUP(A12,Dataset!$A$2:$X$40,20,FALSE)</f>
        <v>67.900000000000006</v>
      </c>
      <c r="F12" s="10">
        <f>VLOOKUP(A12,Dataset!$A$2:$X$40,22,FALSE)</f>
        <v>33.799999999999997</v>
      </c>
    </row>
    <row r="13" spans="1:7" ht="14.5" x14ac:dyDescent="0.35">
      <c r="A13" s="7" t="s">
        <v>15</v>
      </c>
      <c r="B13" s="10">
        <f>VLOOKUP(A13,Dataset!$A$2:$X$40,7,FALSE)</f>
        <v>0</v>
      </c>
      <c r="C13" s="10">
        <f>VLOOKUP(A13,Dataset!$A$2:$X$40,14,FALSE)</f>
        <v>0</v>
      </c>
      <c r="D13" s="10">
        <f>VLOOKUP(A13,Dataset!$A$2:$X$40,18,FALSE)</f>
        <v>0</v>
      </c>
      <c r="E13" s="10">
        <f>VLOOKUP(A13,Dataset!$A$2:$X$40,20,FALSE)</f>
        <v>0</v>
      </c>
      <c r="F13" s="10">
        <f>VLOOKUP(A13,Dataset!$A$2:$X$40,22,FALSE)</f>
        <v>0</v>
      </c>
    </row>
    <row r="14" spans="1:7" ht="14.5" x14ac:dyDescent="0.35">
      <c r="A14" s="7" t="s">
        <v>16</v>
      </c>
      <c r="B14" s="10">
        <f>VLOOKUP(A14,Dataset!$A$2:$X$40,7,FALSE)</f>
        <v>21.9</v>
      </c>
      <c r="C14" s="10">
        <f>VLOOKUP(A14,Dataset!$A$2:$X$40,14,FALSE)</f>
        <v>61.5</v>
      </c>
      <c r="D14" s="10">
        <f>VLOOKUP(A14,Dataset!$A$2:$X$40,18,FALSE)</f>
        <v>40.1</v>
      </c>
      <c r="E14" s="10">
        <f>VLOOKUP(A14,Dataset!$A$2:$X$40,20,FALSE)</f>
        <v>76.599999999999994</v>
      </c>
      <c r="F14" s="10">
        <f>VLOOKUP(A14,Dataset!$A$2:$X$40,22,FALSE)</f>
        <v>40.1</v>
      </c>
    </row>
    <row r="15" spans="1:7" ht="14.5" x14ac:dyDescent="0.35">
      <c r="A15" s="7" t="s">
        <v>18</v>
      </c>
      <c r="B15" s="10">
        <f>VLOOKUP(A15,Dataset!$A$2:$X$40,7,FALSE)</f>
        <v>26.8</v>
      </c>
      <c r="C15" s="10">
        <f>VLOOKUP(A15,Dataset!$A$2:$X$40,14,FALSE)</f>
        <v>79.599999999999994</v>
      </c>
      <c r="D15" s="10">
        <f>VLOOKUP(A15,Dataset!$A$2:$X$40,18,FALSE)</f>
        <v>47.9</v>
      </c>
      <c r="E15" s="10">
        <f>VLOOKUP(A15,Dataset!$A$2:$X$40,20,FALSE)</f>
        <v>96.8</v>
      </c>
      <c r="F15" s="10">
        <f>VLOOKUP(A15,Dataset!$A$2:$X$40,22,FALSE)</f>
        <v>47.9</v>
      </c>
    </row>
    <row r="16" spans="1:7" ht="14.5" x14ac:dyDescent="0.35">
      <c r="A16" s="7" t="s">
        <v>20</v>
      </c>
      <c r="B16" s="10">
        <f>VLOOKUP(A16,Dataset!$A$2:$X$40,7,FALSE)</f>
        <v>28.5</v>
      </c>
      <c r="C16" s="10">
        <f>VLOOKUP(A16,Dataset!$A$2:$X$40,14,FALSE)</f>
        <v>85.4</v>
      </c>
      <c r="D16" s="10">
        <f>VLOOKUP(A16,Dataset!$A$2:$X$40,18,FALSE)</f>
        <v>52.3</v>
      </c>
      <c r="E16" s="10">
        <f>VLOOKUP(A16,Dataset!$A$2:$X$40,20,FALSE)</f>
        <v>106.1</v>
      </c>
      <c r="F16" s="10">
        <f>VLOOKUP(A16,Dataset!$A$2:$X$40,22,FALSE)</f>
        <v>52.3</v>
      </c>
    </row>
    <row r="17" spans="1:6" ht="14.5" x14ac:dyDescent="0.35">
      <c r="A17" s="7" t="s">
        <v>22</v>
      </c>
      <c r="B17" s="10">
        <f>VLOOKUP(A17,Dataset!$A$2:$X$40,7,FALSE)</f>
        <v>30.7</v>
      </c>
      <c r="C17" s="10">
        <f>VLOOKUP(A17,Dataset!$A$2:$X$40,14,FALSE)</f>
        <v>92.1</v>
      </c>
      <c r="D17" s="10">
        <f>VLOOKUP(A17,Dataset!$A$2:$X$40,18,FALSE)</f>
        <v>57</v>
      </c>
      <c r="E17" s="10">
        <f>VLOOKUP(A17,Dataset!$A$2:$X$40,20,FALSE)</f>
        <v>115.1</v>
      </c>
      <c r="F17" s="10">
        <f>VLOOKUP(A17,Dataset!$A$2:$X$40,22,FALSE)</f>
        <v>57</v>
      </c>
    </row>
    <row r="18" spans="1:6" ht="14.5" x14ac:dyDescent="0.35">
      <c r="A18" s="7" t="s">
        <v>23</v>
      </c>
      <c r="B18" s="10">
        <f>VLOOKUP(A18,Dataset!$A$2:$X$40,7,FALSE)</f>
        <v>33.799999999999997</v>
      </c>
      <c r="C18" s="10">
        <f>VLOOKUP(A18,Dataset!$A$2:$X$40,14,FALSE)</f>
        <v>101.3</v>
      </c>
      <c r="D18" s="10">
        <f>VLOOKUP(A18,Dataset!$A$2:$X$40,18,FALSE)</f>
        <v>61.4</v>
      </c>
      <c r="E18" s="10">
        <f>VLOOKUP(A18,Dataset!$A$2:$X$40,20,FALSE)</f>
        <v>124.4</v>
      </c>
      <c r="F18" s="10">
        <f>VLOOKUP(A18,Dataset!$A$2:$X$40,22,FALSE)</f>
        <v>61.4</v>
      </c>
    </row>
    <row r="19" spans="1:6" ht="14.5" x14ac:dyDescent="0.35">
      <c r="A19" s="7" t="s">
        <v>24</v>
      </c>
      <c r="B19" s="10">
        <f>VLOOKUP(A19,Dataset!$A$2:$X$40,7,FALSE)</f>
        <v>34.700000000000003</v>
      </c>
      <c r="C19" s="10">
        <f>VLOOKUP(A19,Dataset!$A$2:$X$40,14,FALSE)</f>
        <v>106.1</v>
      </c>
      <c r="D19" s="10">
        <f>VLOOKUP(A19,Dataset!$A$2:$X$40,18,FALSE)</f>
        <v>63.6</v>
      </c>
      <c r="E19" s="10">
        <f>VLOOKUP(A19,Dataset!$A$2:$X$40,20,FALSE)</f>
        <v>128.6</v>
      </c>
      <c r="F19" s="10">
        <f>VLOOKUP(A19,Dataset!$A$2:$X$40,22,FALSE)</f>
        <v>63.6</v>
      </c>
    </row>
    <row r="20" spans="1:6" ht="14.5" x14ac:dyDescent="0.35">
      <c r="A20" s="7" t="s">
        <v>28</v>
      </c>
      <c r="B20" s="10">
        <f>VLOOKUP(A20,Dataset!$A$2:$X$40,7,FALSE)</f>
        <v>0</v>
      </c>
      <c r="C20" s="10">
        <f>VLOOKUP(A20,Dataset!$A$2:$X$40,14,FALSE)</f>
        <v>0</v>
      </c>
      <c r="D20" s="10">
        <f>VLOOKUP(A20,Dataset!$A$2:$X$40,18,FALSE)</f>
        <v>0</v>
      </c>
      <c r="E20" s="10">
        <f>VLOOKUP(A20,Dataset!$A$2:$X$40,20,FALSE)</f>
        <v>0</v>
      </c>
      <c r="F20" s="10">
        <f>VLOOKUP(A20,Dataset!$A$2:$X$40,22,FALSE)</f>
        <v>0</v>
      </c>
    </row>
    <row r="21" spans="1:6" ht="14.5" x14ac:dyDescent="0.35">
      <c r="A21" s="7" t="s">
        <v>57</v>
      </c>
      <c r="B21" s="10">
        <f>VLOOKUP(A21,Dataset!$A$2:$X$40,7,FALSE)</f>
        <v>41.3</v>
      </c>
      <c r="C21" s="10">
        <f>VLOOKUP(A21,Dataset!$A$2:$X$40,14,FALSE)</f>
        <v>124.4</v>
      </c>
      <c r="D21" s="10">
        <f>VLOOKUP(A21,Dataset!$A$2:$X$40,18,FALSE)</f>
        <v>75</v>
      </c>
      <c r="E21" s="10">
        <f>VLOOKUP(A21,Dataset!$A$2:$X$40,20,FALSE)</f>
        <v>151.5</v>
      </c>
      <c r="F21" s="10">
        <f>VLOOKUP(A21,Dataset!$A$2:$X$40,22,FALSE)</f>
        <v>75</v>
      </c>
    </row>
    <row r="22" spans="1:6" ht="14.5" x14ac:dyDescent="0.35">
      <c r="A22" s="7" t="s">
        <v>58</v>
      </c>
      <c r="B22" s="10">
        <f>VLOOKUP(A22,Dataset!$A$2:$X$40,7,FALSE)</f>
        <v>-1</v>
      </c>
      <c r="C22" s="10">
        <f>VLOOKUP(A22,Dataset!$A$2:$X$40,14,FALSE)</f>
        <v>-1</v>
      </c>
      <c r="D22" s="10">
        <f>VLOOKUP(A22,Dataset!$A$2:$X$40,18,FALSE)</f>
        <v>-1</v>
      </c>
      <c r="E22" s="10">
        <f>VLOOKUP(A22,Dataset!$A$2:$X$40,20,FALSE)</f>
        <v>-1</v>
      </c>
      <c r="F22" s="10">
        <f>VLOOKUP(A22,Dataset!$A$2:$X$40,22,FALSE)</f>
        <v>-1</v>
      </c>
    </row>
    <row r="23" spans="1:6" ht="14.5" x14ac:dyDescent="0.35">
      <c r="A23" s="7" t="s">
        <v>31</v>
      </c>
      <c r="B23" s="10">
        <f>VLOOKUP(A23,Dataset!$A$2:$X$40,7,FALSE)</f>
        <v>45</v>
      </c>
      <c r="C23" s="10">
        <f>VLOOKUP(A23,Dataset!$A$2:$X$40,14,FALSE)</f>
        <v>133.4</v>
      </c>
      <c r="D23" s="10">
        <f>VLOOKUP(A23,Dataset!$A$2:$X$40,18,FALSE)</f>
        <v>79.400000000000006</v>
      </c>
      <c r="E23" s="10">
        <f>VLOOKUP(A23,Dataset!$A$2:$X$40,20,FALSE)</f>
        <v>160.9</v>
      </c>
      <c r="F23" s="10">
        <f>VLOOKUP(A23,Dataset!$A$2:$X$40,22,FALSE)</f>
        <v>79.400000000000006</v>
      </c>
    </row>
    <row r="24" spans="1:6" ht="14.5" x14ac:dyDescent="0.35">
      <c r="A24" s="7" t="s">
        <v>32</v>
      </c>
      <c r="B24" s="10">
        <f>VLOOKUP(A24,Dataset!$A$2:$X$40,7,FALSE)</f>
        <v>-1</v>
      </c>
      <c r="C24" s="10">
        <f>VLOOKUP(A24,Dataset!$A$2:$X$40,14,FALSE)</f>
        <v>-1</v>
      </c>
      <c r="D24" s="10">
        <f>VLOOKUP(A24,Dataset!$A$2:$X$40,18,FALSE)</f>
        <v>-1</v>
      </c>
      <c r="E24" s="10">
        <f>VLOOKUP(A24,Dataset!$A$2:$X$40,20,FALSE)</f>
        <v>-1</v>
      </c>
      <c r="F24" s="10">
        <f>VLOOKUP(A24,Dataset!$A$2:$X$40,22,FALSE)</f>
        <v>-1</v>
      </c>
    </row>
    <row r="25" spans="1:6" ht="14.5" x14ac:dyDescent="0.35">
      <c r="A25" s="7" t="s">
        <v>34</v>
      </c>
      <c r="B25" s="10">
        <f>VLOOKUP(A25,Dataset!$A$2:$X$40,7,FALSE)</f>
        <v>43.3</v>
      </c>
      <c r="C25" s="10">
        <f>VLOOKUP(A25,Dataset!$A$2:$X$40,14,FALSE)</f>
        <v>128.6</v>
      </c>
      <c r="D25" s="10">
        <f>VLOOKUP(A25,Dataset!$A$2:$X$40,18,FALSE)</f>
        <v>79.400000000000006</v>
      </c>
      <c r="E25" s="10">
        <f>VLOOKUP(A25,Dataset!$A$2:$X$40,20,FALSE)</f>
        <v>160.9</v>
      </c>
      <c r="F25" s="10">
        <f>VLOOKUP(A25,Dataset!$A$2:$X$40,22,FALSE)</f>
        <v>79.400000000000006</v>
      </c>
    </row>
    <row r="26" spans="1:6" ht="14.5" x14ac:dyDescent="0.35">
      <c r="A26" s="7" t="s">
        <v>37</v>
      </c>
      <c r="B26" s="10">
        <f>VLOOKUP(A26,Dataset!$A$2:$X$40,7,FALSE)</f>
        <v>49.1</v>
      </c>
      <c r="C26" s="10">
        <f>VLOOKUP(A26,Dataset!$A$2:$X$40,14,FALSE)</f>
        <v>146.80000000000001</v>
      </c>
      <c r="D26" s="10">
        <f>VLOOKUP(A26,Dataset!$A$2:$X$40,18,FALSE)</f>
        <v>90.9</v>
      </c>
      <c r="E26" s="10">
        <f>VLOOKUP(A26,Dataset!$A$2:$X$40,20,FALSE)</f>
        <v>183.5</v>
      </c>
      <c r="F26" s="10">
        <f>VLOOKUP(A26,Dataset!$A$2:$X$40,22,FALSE)</f>
        <v>90.9</v>
      </c>
    </row>
    <row r="27" spans="1:6" ht="14.5" x14ac:dyDescent="0.35">
      <c r="A27" s="7" t="s">
        <v>39</v>
      </c>
      <c r="B27" s="10">
        <f>VLOOKUP(A27,Dataset!$A$2:$X$40,7,FALSE)</f>
        <v>51.8</v>
      </c>
      <c r="C27" s="10">
        <f>VLOOKUP(A27,Dataset!$A$2:$X$40,14,FALSE)</f>
        <v>156.4</v>
      </c>
      <c r="D27" s="10">
        <f>VLOOKUP(A27,Dataset!$A$2:$X$40,18,FALSE)</f>
        <v>93.1</v>
      </c>
      <c r="E27" s="10">
        <f>VLOOKUP(A27,Dataset!$A$2:$X$40,20,FALSE)</f>
        <v>188.1</v>
      </c>
      <c r="F27" s="10">
        <f>VLOOKUP(A27,Dataset!$A$2:$X$40,22,FALSE)</f>
        <v>93.1</v>
      </c>
    </row>
    <row r="28" spans="1:6" ht="14.5" x14ac:dyDescent="0.35">
      <c r="A28" s="17" t="s">
        <v>82</v>
      </c>
      <c r="B28" s="10">
        <f>MIN(B6:B27)</f>
        <v>-1</v>
      </c>
      <c r="C28" s="29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4.5" x14ac:dyDescent="0.35">
      <c r="A29" s="17" t="s">
        <v>83</v>
      </c>
      <c r="B29" s="10">
        <f>MAX(B6:B27)</f>
        <v>51.8</v>
      </c>
      <c r="C29" s="29">
        <f>MAX(C6:C27)</f>
        <v>156.4</v>
      </c>
      <c r="D29" s="29">
        <f>MAX(D6:D27)</f>
        <v>93.1</v>
      </c>
      <c r="E29" s="29">
        <f>MAX(E6:E27)</f>
        <v>188.1</v>
      </c>
      <c r="F29" s="29">
        <f>MAX(F6:F27)</f>
        <v>93.1</v>
      </c>
    </row>
    <row r="30" spans="1:6" ht="14.5" x14ac:dyDescent="0.35">
      <c r="A30" s="17" t="s">
        <v>84</v>
      </c>
      <c r="B30" s="10">
        <f>AVERAGE(B6:B27)</f>
        <v>20.827272727272728</v>
      </c>
      <c r="C30" s="29">
        <f>AVERAGE(C6:C27)</f>
        <v>62.377272727272725</v>
      </c>
      <c r="D30" s="29">
        <f>AVERAGE(D6:D27)</f>
        <v>37.800000000000004</v>
      </c>
      <c r="E30" s="29">
        <f>AVERAGE(E6:E27)</f>
        <v>76.418181818181822</v>
      </c>
      <c r="F30" s="29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5"/>
  <sheetViews>
    <sheetView zoomScaleNormal="100" workbookViewId="0">
      <selection activeCell="G7" sqref="G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1" t="s">
        <v>53</v>
      </c>
      <c r="B5" s="45" t="s">
        <v>179</v>
      </c>
    </row>
    <row r="6" spans="1:10" ht="18.5" x14ac:dyDescent="0.45">
      <c r="A6" s="41" t="s">
        <v>153</v>
      </c>
      <c r="B6" s="46" t="s">
        <v>180</v>
      </c>
    </row>
    <row r="7" spans="1:10" ht="18.5" x14ac:dyDescent="0.45">
      <c r="A7" s="41"/>
      <c r="B7" s="46" t="s">
        <v>181</v>
      </c>
    </row>
    <row r="9" spans="1:10" ht="23.5" x14ac:dyDescent="0.55000000000000004">
      <c r="A9" s="16" t="s">
        <v>165</v>
      </c>
      <c r="I9" s="2"/>
      <c r="J9" s="2"/>
    </row>
    <row r="10" spans="1:10" x14ac:dyDescent="0.3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5" x14ac:dyDescent="0.55000000000000004">
      <c r="A14" s="16" t="s">
        <v>162</v>
      </c>
    </row>
    <row r="15" spans="1:10" x14ac:dyDescent="0.3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5">
      <c r="A16" s="7" t="s">
        <v>121</v>
      </c>
      <c r="B16" s="10" t="str">
        <f>LEFT(A16, SEARCH("-", A16) - 1)</f>
        <v>20000</v>
      </c>
      <c r="C16" s="1" t="str">
        <f>MID(A16, SEARCH("-", A16) + 1, SEARCH("-", MID(A16, SEARCH("-", A16) + 1, LEN(A16))) - 1)</f>
        <v>Monday</v>
      </c>
      <c r="D16" s="10">
        <f ca="1">MID(D16, FIND("-", D16, FIND("-", D16) + 1) + 1, FIND("-", D16, FIND("-", D16, FIND("-", D16) + 1) + 1) - FIND("-", D16, FIND("-", D16) + 1) - 1)</f>
        <v>0</v>
      </c>
      <c r="E16" s="1" t="str">
        <f>MID(A16, SEARCH("-", A16, SEARCH("-", A16, SEARCH("-", A16) + 1) + 1) + 1, SEARCH("-", A16, SEARCH("-", A16, SEARCH("-", A16, SEARCH("-", A16) + 1) + 1) + 1) - SEARCH("-", A16, SEARCH("-", A16, SEARCH("-", A16) + 1) + 1) - 1)</f>
        <v>Sunday</v>
      </c>
      <c r="F16" s="10" t="str">
        <f>RIGHT(A16, LEN(A16) - SEARCH("@", SUBSTITUTE(A16, "-", "@", LEN(A16) - LEN(SUBSTITUTE(A16, "-", "")))))</f>
        <v>24</v>
      </c>
    </row>
    <row r="17" spans="1:6" x14ac:dyDescent="0.35">
      <c r="A17" s="7" t="s">
        <v>122</v>
      </c>
      <c r="B17" s="10" t="str">
        <f t="shared" ref="B17:B54" si="0">LEFT(A17, SEARCH("-", A17) - 1)</f>
        <v>20002</v>
      </c>
      <c r="C17" s="1" t="str">
        <f t="shared" ref="C17:C54" si="1">MID(A17, SEARCH("-", A17) + 1, SEARCH("-", MID(A17, SEARCH("-", A17) + 1, LEN(A17))) - 1)</f>
        <v>Monday</v>
      </c>
      <c r="D17" s="10">
        <f t="shared" ref="D17:D55" ca="1" si="2">MID(D17, FIND("-", D17, FIND("-", D17) + 1) + 1, FIND("-", D17, FIND("-", D17, FIND("-", D17) + 1) + 1) - FIND("-", D17, FIND("-", D17) + 1) - 1)</f>
        <v>0</v>
      </c>
      <c r="E17" s="1" t="str">
        <f t="shared" ref="E17:E54" si="3">MID(A17, SEARCH("-", A17, SEARCH("-", A17, SEARCH("-", A17) + 1) + 1) + 1, SEARCH("-", A17, SEARCH("-", A17, SEARCH("-", A17, SEARCH("-", A17) + 1) + 1) + 1) - SEARCH("-", A17, SEARCH("-", A17, SEARCH("-", A17) + 1) + 1) - 1)</f>
        <v>Sunday</v>
      </c>
      <c r="F17" s="10" t="str">
        <f t="shared" ref="F17:F54" si="4">RIGHT(A17, LEN(A17) - SEARCH("@", SUBSTITUTE(A17, "-", "@", LEN(A17) - LEN(SUBSTITUTE(A17, "-", "")))))</f>
        <v>24</v>
      </c>
    </row>
    <row r="18" spans="1:6" x14ac:dyDescent="0.35">
      <c r="A18" s="7" t="s">
        <v>123</v>
      </c>
      <c r="B18" s="10" t="str">
        <f t="shared" si="0"/>
        <v>20004</v>
      </c>
      <c r="C18" s="1" t="str">
        <f t="shared" si="1"/>
        <v>Monday</v>
      </c>
      <c r="D18" s="10">
        <f t="shared" ca="1" si="2"/>
        <v>0</v>
      </c>
      <c r="E18" s="1" t="str">
        <f t="shared" si="3"/>
        <v>Sunday</v>
      </c>
      <c r="F18" s="10" t="str">
        <f t="shared" si="4"/>
        <v>24</v>
      </c>
    </row>
    <row r="19" spans="1:6" x14ac:dyDescent="0.35">
      <c r="A19" s="7" t="s">
        <v>124</v>
      </c>
      <c r="B19" s="10" t="str">
        <f t="shared" si="0"/>
        <v>20006</v>
      </c>
      <c r="C19" s="1" t="str">
        <f t="shared" si="1"/>
        <v>Monday</v>
      </c>
      <c r="D19" s="10">
        <f t="shared" ca="1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35">
      <c r="A20" s="7" t="s">
        <v>125</v>
      </c>
      <c r="B20" s="10" t="str">
        <f t="shared" si="0"/>
        <v>20008</v>
      </c>
      <c r="C20" s="1" t="str">
        <f t="shared" si="1"/>
        <v>Monday</v>
      </c>
      <c r="D20" s="10">
        <f t="shared" ca="1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35">
      <c r="A21" s="7" t="s">
        <v>126</v>
      </c>
      <c r="B21" s="10" t="str">
        <f t="shared" si="0"/>
        <v>20010</v>
      </c>
      <c r="C21" s="1" t="str">
        <f t="shared" si="1"/>
        <v>Monday</v>
      </c>
      <c r="D21" s="10">
        <f t="shared" ca="1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35">
      <c r="A22" s="7" t="s">
        <v>127</v>
      </c>
      <c r="B22" s="10" t="str">
        <f t="shared" si="0"/>
        <v>20012</v>
      </c>
      <c r="C22" s="1" t="str">
        <f t="shared" si="1"/>
        <v>Monday</v>
      </c>
      <c r="D22" s="10">
        <f t="shared" ca="1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35">
      <c r="A23" s="7" t="s">
        <v>128</v>
      </c>
      <c r="B23" s="10" t="str">
        <f t="shared" si="0"/>
        <v>20014</v>
      </c>
      <c r="C23" s="1" t="str">
        <f t="shared" si="1"/>
        <v>Monday</v>
      </c>
      <c r="D23" s="10">
        <f t="shared" ca="1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35">
      <c r="A24" s="7" t="s">
        <v>129</v>
      </c>
      <c r="B24" s="10" t="str">
        <f t="shared" si="0"/>
        <v>20016</v>
      </c>
      <c r="C24" s="1" t="str">
        <f t="shared" si="1"/>
        <v>Monday</v>
      </c>
      <c r="D24" s="10">
        <f t="shared" ca="1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35">
      <c r="A25" s="7" t="s">
        <v>130</v>
      </c>
      <c r="B25" s="10" t="str">
        <f t="shared" si="0"/>
        <v>20018</v>
      </c>
      <c r="C25" s="1" t="str">
        <f t="shared" si="1"/>
        <v>Monday</v>
      </c>
      <c r="D25" s="10">
        <f t="shared" ca="1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35">
      <c r="A26" s="7" t="s">
        <v>131</v>
      </c>
      <c r="B26" s="10" t="str">
        <f t="shared" si="0"/>
        <v>20020</v>
      </c>
      <c r="C26" s="1" t="str">
        <f t="shared" si="1"/>
        <v>Monday</v>
      </c>
      <c r="D26" s="10">
        <f t="shared" ca="1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35">
      <c r="A27" s="7" t="s">
        <v>132</v>
      </c>
      <c r="B27" s="10" t="str">
        <f t="shared" si="0"/>
        <v>20022</v>
      </c>
      <c r="C27" s="1" t="str">
        <f t="shared" si="1"/>
        <v>Monday</v>
      </c>
      <c r="D27" s="10">
        <f t="shared" ca="1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35">
      <c r="A28" s="7" t="s">
        <v>133</v>
      </c>
      <c r="B28" s="10" t="str">
        <f t="shared" si="0"/>
        <v>20024</v>
      </c>
      <c r="C28" s="1" t="str">
        <f t="shared" si="1"/>
        <v>Monday</v>
      </c>
      <c r="D28" s="10">
        <f t="shared" ca="1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35">
      <c r="A29" s="7" t="s">
        <v>134</v>
      </c>
      <c r="B29" s="10" t="str">
        <f t="shared" si="0"/>
        <v>20026</v>
      </c>
      <c r="C29" s="1" t="str">
        <f t="shared" si="1"/>
        <v>Monday</v>
      </c>
      <c r="D29" s="10">
        <f t="shared" ca="1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35">
      <c r="A30" s="7" t="s">
        <v>135</v>
      </c>
      <c r="B30" s="10" t="str">
        <f t="shared" si="0"/>
        <v>20028</v>
      </c>
      <c r="C30" s="1" t="str">
        <f t="shared" si="1"/>
        <v>Monday</v>
      </c>
      <c r="D30" s="10">
        <f t="shared" ca="1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35">
      <c r="A31" s="7" t="s">
        <v>136</v>
      </c>
      <c r="B31" s="10" t="str">
        <f t="shared" si="0"/>
        <v>20030</v>
      </c>
      <c r="C31" s="1" t="str">
        <f t="shared" si="1"/>
        <v>Monday</v>
      </c>
      <c r="D31" s="10">
        <f t="shared" ca="1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35">
      <c r="A32" s="7" t="s">
        <v>137</v>
      </c>
      <c r="B32" s="10" t="str">
        <f t="shared" si="0"/>
        <v>20032</v>
      </c>
      <c r="C32" s="1" t="str">
        <f t="shared" si="1"/>
        <v>Monday</v>
      </c>
      <c r="D32" s="10">
        <f t="shared" ca="1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35">
      <c r="A33" s="7" t="s">
        <v>138</v>
      </c>
      <c r="B33" s="10" t="str">
        <f t="shared" si="0"/>
        <v>20034</v>
      </c>
      <c r="C33" s="1" t="str">
        <f t="shared" si="1"/>
        <v>Monday</v>
      </c>
      <c r="D33" s="10">
        <f t="shared" ca="1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35">
      <c r="A34" s="7" t="s">
        <v>139</v>
      </c>
      <c r="B34" s="10" t="str">
        <f t="shared" si="0"/>
        <v>20036</v>
      </c>
      <c r="C34" s="1" t="str">
        <f t="shared" si="1"/>
        <v>Monday</v>
      </c>
      <c r="D34" s="10">
        <f t="shared" ca="1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35">
      <c r="A35" s="7" t="s">
        <v>140</v>
      </c>
      <c r="B35" s="10" t="str">
        <f t="shared" si="0"/>
        <v>20038</v>
      </c>
      <c r="C35" s="1" t="str">
        <f t="shared" si="1"/>
        <v>Monday</v>
      </c>
      <c r="D35" s="10">
        <f t="shared" ca="1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35">
      <c r="A36" s="7" t="s">
        <v>141</v>
      </c>
      <c r="B36" s="10" t="str">
        <f t="shared" si="0"/>
        <v>20040</v>
      </c>
      <c r="C36" s="1" t="str">
        <f t="shared" si="1"/>
        <v>Monday</v>
      </c>
      <c r="D36" s="10">
        <f t="shared" ca="1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35">
      <c r="A37" s="7" t="s">
        <v>142</v>
      </c>
      <c r="B37" s="10" t="str">
        <f t="shared" si="0"/>
        <v>20042</v>
      </c>
      <c r="C37" s="1" t="str">
        <f t="shared" si="1"/>
        <v>Monday</v>
      </c>
      <c r="D37" s="10">
        <f t="shared" ca="1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35">
      <c r="A38" s="7" t="s">
        <v>143</v>
      </c>
      <c r="B38" s="10" t="str">
        <f t="shared" si="0"/>
        <v>20044</v>
      </c>
      <c r="C38" s="1" t="str">
        <f t="shared" si="1"/>
        <v>Monday</v>
      </c>
      <c r="D38" s="10">
        <f t="shared" ca="1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35">
      <c r="A39" s="7" t="s">
        <v>144</v>
      </c>
      <c r="B39" s="10" t="str">
        <f t="shared" si="0"/>
        <v>20046</v>
      </c>
      <c r="C39" s="1" t="str">
        <f t="shared" si="1"/>
        <v>Monday</v>
      </c>
      <c r="D39" s="10">
        <f t="shared" ca="1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35">
      <c r="A40" s="7" t="s">
        <v>145</v>
      </c>
      <c r="B40" s="10" t="str">
        <f t="shared" si="0"/>
        <v>20048</v>
      </c>
      <c r="C40" s="1" t="str">
        <f t="shared" si="1"/>
        <v>Monday</v>
      </c>
      <c r="D40" s="10">
        <f t="shared" ca="1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35">
      <c r="A41" s="7" t="s">
        <v>146</v>
      </c>
      <c r="B41" s="10" t="str">
        <f t="shared" si="0"/>
        <v>20050</v>
      </c>
      <c r="C41" s="1" t="str">
        <f t="shared" si="1"/>
        <v>Monday</v>
      </c>
      <c r="D41" s="10">
        <f t="shared" ca="1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35">
      <c r="A42" s="7" t="s">
        <v>147</v>
      </c>
      <c r="B42" s="10" t="str">
        <f t="shared" si="0"/>
        <v>20052</v>
      </c>
      <c r="C42" s="1" t="str">
        <f t="shared" si="1"/>
        <v>Monday</v>
      </c>
      <c r="D42" s="10">
        <f t="shared" ca="1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35">
      <c r="A43" s="7" t="s">
        <v>148</v>
      </c>
      <c r="B43" s="10" t="str">
        <f t="shared" si="0"/>
        <v>20054</v>
      </c>
      <c r="C43" s="1" t="str">
        <f t="shared" si="1"/>
        <v>Monday</v>
      </c>
      <c r="D43" s="10">
        <f t="shared" ca="1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35">
      <c r="A44" s="7" t="s">
        <v>149</v>
      </c>
      <c r="B44" s="10" t="str">
        <f t="shared" si="0"/>
        <v>20058</v>
      </c>
      <c r="C44" s="1" t="str">
        <f t="shared" si="1"/>
        <v>Monday</v>
      </c>
      <c r="D44" s="10">
        <f t="shared" ca="1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35">
      <c r="A45" s="7" t="s">
        <v>150</v>
      </c>
      <c r="B45" s="10" t="str">
        <f t="shared" si="0"/>
        <v>20060</v>
      </c>
      <c r="C45" s="1" t="str">
        <f t="shared" si="1"/>
        <v>Monday</v>
      </c>
      <c r="D45" s="10">
        <f t="shared" ca="1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35">
      <c r="A46" s="7" t="s">
        <v>112</v>
      </c>
      <c r="B46" s="10" t="str">
        <f t="shared" si="0"/>
        <v>21000</v>
      </c>
      <c r="C46" s="1" t="str">
        <f t="shared" si="1"/>
        <v>Monday</v>
      </c>
      <c r="D46" s="10">
        <f t="shared" ca="1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35">
      <c r="A47" s="7" t="s">
        <v>113</v>
      </c>
      <c r="B47" s="10" t="str">
        <f t="shared" si="0"/>
        <v>21002</v>
      </c>
      <c r="C47" s="1" t="str">
        <f t="shared" si="1"/>
        <v>Monday</v>
      </c>
      <c r="D47" s="10">
        <f t="shared" ca="1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35">
      <c r="A48" s="7" t="s">
        <v>114</v>
      </c>
      <c r="B48" s="10" t="str">
        <f t="shared" si="0"/>
        <v>21004</v>
      </c>
      <c r="C48" s="1" t="str">
        <f t="shared" si="1"/>
        <v>Monday</v>
      </c>
      <c r="D48" s="10">
        <f t="shared" ca="1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35">
      <c r="A49" s="7" t="s">
        <v>115</v>
      </c>
      <c r="B49" s="10" t="str">
        <f t="shared" si="0"/>
        <v>21006</v>
      </c>
      <c r="C49" s="1" t="str">
        <f t="shared" si="1"/>
        <v>Monday</v>
      </c>
      <c r="D49" s="10">
        <f t="shared" ca="1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35">
      <c r="A50" s="7" t="s">
        <v>116</v>
      </c>
      <c r="B50" s="10" t="str">
        <f t="shared" si="0"/>
        <v>21008</v>
      </c>
      <c r="C50" s="1" t="str">
        <f t="shared" si="1"/>
        <v>Monday</v>
      </c>
      <c r="D50" s="10">
        <f t="shared" ca="1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35">
      <c r="A51" s="7" t="s">
        <v>117</v>
      </c>
      <c r="B51" s="10" t="str">
        <f t="shared" si="0"/>
        <v>21010</v>
      </c>
      <c r="C51" s="1" t="str">
        <f t="shared" si="1"/>
        <v>Monday</v>
      </c>
      <c r="D51" s="10">
        <f t="shared" ca="1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35">
      <c r="A52" s="7" t="s">
        <v>118</v>
      </c>
      <c r="B52" s="10" t="str">
        <f t="shared" si="0"/>
        <v>21012</v>
      </c>
      <c r="C52" s="1" t="str">
        <f t="shared" si="1"/>
        <v>Monday</v>
      </c>
      <c r="D52" s="10">
        <f t="shared" ca="1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35">
      <c r="A53" s="7" t="s">
        <v>119</v>
      </c>
      <c r="B53" s="10" t="str">
        <f t="shared" si="0"/>
        <v>21014</v>
      </c>
      <c r="C53" s="1" t="str">
        <f t="shared" si="1"/>
        <v>Monday</v>
      </c>
      <c r="D53" s="10">
        <f t="shared" ca="1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35">
      <c r="A54" s="8" t="s">
        <v>120</v>
      </c>
      <c r="B54" s="10" t="str">
        <f t="shared" si="0"/>
        <v>21016</v>
      </c>
      <c r="C54" s="1" t="str">
        <f t="shared" si="1"/>
        <v>Monday</v>
      </c>
      <c r="D54" s="10">
        <f t="shared" ca="1" si="2"/>
        <v>0</v>
      </c>
      <c r="E54" s="1" t="str">
        <f t="shared" si="3"/>
        <v>Sunday</v>
      </c>
      <c r="F54" s="10" t="str">
        <f t="shared" si="4"/>
        <v>24</v>
      </c>
    </row>
    <row r="55" spans="1:6" x14ac:dyDescent="0.35">
      <c r="D55" s="10"/>
      <c r="F55" s="10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0" ht="21" x14ac:dyDescent="0.5">
      <c r="A1" s="40" t="s">
        <v>85</v>
      </c>
      <c r="B1" s="39" t="s">
        <v>167</v>
      </c>
    </row>
    <row r="2" spans="1:10" ht="18.5" x14ac:dyDescent="0.45">
      <c r="B2" s="38" t="s">
        <v>166</v>
      </c>
    </row>
    <row r="5" spans="1:10" ht="14.5" x14ac:dyDescent="0.35">
      <c r="B5" s="1" t="s">
        <v>151</v>
      </c>
    </row>
    <row r="6" spans="1:10" ht="14.5" x14ac:dyDescent="0.35">
      <c r="A6" s="3" t="s">
        <v>53</v>
      </c>
      <c r="B6" s="44" t="s">
        <v>178</v>
      </c>
      <c r="C6" s="43"/>
      <c r="D6" s="43"/>
      <c r="E6" s="43"/>
      <c r="F6" s="43"/>
      <c r="G6" s="43"/>
      <c r="H6" s="43"/>
      <c r="I6" s="43"/>
      <c r="J6" s="43"/>
    </row>
    <row r="7" spans="1:10" ht="14.5" x14ac:dyDescent="0.35">
      <c r="A7" s="3" t="s">
        <v>153</v>
      </c>
      <c r="B7" s="45" t="s">
        <v>182</v>
      </c>
    </row>
    <row r="10" spans="1:10" ht="23.5" x14ac:dyDescent="0.55000000000000004">
      <c r="A10" s="16" t="s">
        <v>162</v>
      </c>
    </row>
    <row r="11" spans="1:10" ht="14.5" x14ac:dyDescent="0.35">
      <c r="A11" s="30" t="s">
        <v>86</v>
      </c>
      <c r="B11" s="15" t="s">
        <v>87</v>
      </c>
      <c r="C11" s="15" t="s">
        <v>88</v>
      </c>
    </row>
    <row r="12" spans="1:10" ht="14.5" x14ac:dyDescent="0.35">
      <c r="A12" s="30">
        <v>44927</v>
      </c>
      <c r="B12" s="15" t="s">
        <v>59</v>
      </c>
      <c r="C12" s="15">
        <v>200</v>
      </c>
    </row>
    <row r="13" spans="1:10" ht="14.5" x14ac:dyDescent="0.35">
      <c r="A13" s="30">
        <v>44928</v>
      </c>
      <c r="B13" s="15" t="s">
        <v>60</v>
      </c>
      <c r="C13" s="15" t="e">
        <v>#N/A</v>
      </c>
    </row>
    <row r="14" spans="1:10" ht="14.5" x14ac:dyDescent="0.35">
      <c r="A14" s="30">
        <v>44929</v>
      </c>
      <c r="B14" s="15" t="s">
        <v>61</v>
      </c>
      <c r="C14" s="15">
        <v>50</v>
      </c>
    </row>
    <row r="15" spans="1:10" ht="14.5" x14ac:dyDescent="0.35">
      <c r="A15" s="30">
        <v>44930</v>
      </c>
      <c r="B15" s="15" t="s">
        <v>62</v>
      </c>
      <c r="C15" s="15" t="e">
        <v>#N/A</v>
      </c>
    </row>
    <row r="16" spans="1:10" ht="14.5" x14ac:dyDescent="0.35">
      <c r="A16" s="30">
        <v>44931</v>
      </c>
      <c r="B16" s="15" t="s">
        <v>63</v>
      </c>
      <c r="C16" s="15">
        <v>10</v>
      </c>
    </row>
    <row r="17" spans="1:3" ht="14.5" x14ac:dyDescent="0.35">
      <c r="A17" s="30">
        <v>44932</v>
      </c>
      <c r="B17" s="15" t="s">
        <v>154</v>
      </c>
      <c r="C17" s="15">
        <v>150</v>
      </c>
    </row>
    <row r="18" spans="1:3" ht="14.5" x14ac:dyDescent="0.35">
      <c r="A18" s="30">
        <v>44933</v>
      </c>
      <c r="B18" s="15" t="s">
        <v>155</v>
      </c>
      <c r="C18" s="15">
        <v>80</v>
      </c>
    </row>
    <row r="19" spans="1:3" ht="14.5" x14ac:dyDescent="0.35">
      <c r="A19" s="30">
        <v>44934</v>
      </c>
      <c r="B19" s="15" t="s">
        <v>156</v>
      </c>
      <c r="C19" s="15" t="e">
        <v>#N/A</v>
      </c>
    </row>
    <row r="20" spans="1:3" ht="14.5" x14ac:dyDescent="0.35">
      <c r="A20" s="30">
        <v>44935</v>
      </c>
      <c r="B20" s="15" t="s">
        <v>157</v>
      </c>
      <c r="C20" s="15">
        <v>30</v>
      </c>
    </row>
    <row r="21" spans="1:3" ht="14.5" x14ac:dyDescent="0.35">
      <c r="A21" s="30">
        <v>44936</v>
      </c>
      <c r="B21" s="15" t="s">
        <v>158</v>
      </c>
      <c r="C21" s="15" t="e">
        <v>#N/A</v>
      </c>
    </row>
    <row r="22" spans="1:3" ht="14.5" x14ac:dyDescent="0.35">
      <c r="B22" s="15" t="s">
        <v>159</v>
      </c>
      <c r="C22" s="23" cm="1">
        <f t="array" ref="C22">SUM(IF(ISNUMBER(C12:C21), C12:C21, 20))</f>
        <v>600</v>
      </c>
    </row>
  </sheetData>
  <mergeCells count="1">
    <mergeCell ref="C6:J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5" zoomScaleNormal="100" workbookViewId="0">
      <selection activeCell="E39" sqref="E39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175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/>
      <c r="C4" s="2" t="s">
        <v>183</v>
      </c>
    </row>
    <row r="5" spans="1:14" ht="18.5" x14ac:dyDescent="0.45">
      <c r="A5" s="41" t="s">
        <v>153</v>
      </c>
      <c r="B5" s="1"/>
      <c r="C5" s="2" t="s">
        <v>184</v>
      </c>
    </row>
    <row r="6" spans="1:14" ht="14.5" x14ac:dyDescent="0.35">
      <c r="A6" s="3"/>
      <c r="B6" s="1"/>
    </row>
    <row r="8" spans="1:14" ht="23.5" x14ac:dyDescent="0.55000000000000004">
      <c r="A8" s="16" t="s">
        <v>162</v>
      </c>
      <c r="M8" s="16" t="s">
        <v>163</v>
      </c>
    </row>
    <row r="9" spans="1:14" ht="14.5" x14ac:dyDescent="0.3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5" x14ac:dyDescent="0.3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5" x14ac:dyDescent="0.3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5" x14ac:dyDescent="0.3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5" x14ac:dyDescent="0.3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5" x14ac:dyDescent="0.3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5" x14ac:dyDescent="0.3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5" x14ac:dyDescent="0.3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5" x14ac:dyDescent="0.3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5" x14ac:dyDescent="0.3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5" x14ac:dyDescent="0.55000000000000004">
      <c r="A21" s="16" t="s">
        <v>168</v>
      </c>
    </row>
    <row r="22" spans="1:14" ht="14.5" x14ac:dyDescent="0.35">
      <c r="A22" s="12" t="s">
        <v>100</v>
      </c>
      <c r="B22" s="15" t="s">
        <v>101</v>
      </c>
      <c r="C22" s="14" t="s">
        <v>102</v>
      </c>
    </row>
    <row r="23" spans="1:14" ht="14.5" x14ac:dyDescent="0.35">
      <c r="A23" s="7">
        <v>10100</v>
      </c>
      <c r="B23" s="10">
        <v>10102</v>
      </c>
      <c r="C23" s="2" t="e">
        <f>VLOOKUP(A23, $B$10:$J$18, MATCH(VLOOKUP(B23, $M$9:$N$18, 2, FALSE), $B$9:$J$9, 0), FALSE)</f>
        <v>#N/A</v>
      </c>
    </row>
    <row r="24" spans="1:14" ht="14.5" x14ac:dyDescent="0.35">
      <c r="A24" s="7">
        <v>10100</v>
      </c>
      <c r="B24" s="10">
        <v>10104</v>
      </c>
      <c r="C24" s="2" t="e">
        <f t="shared" ref="C24:C35" si="0">VLOOKUP(A24, $B$10:$J$18, MATCH(VLOOKUP(B24, $M$9:$N$18, 2, FALSE), $B$9:$J$9, 0), FALSE)</f>
        <v>#N/A</v>
      </c>
    </row>
    <row r="25" spans="1:14" ht="14.5" x14ac:dyDescent="0.35">
      <c r="A25" s="7">
        <v>10108</v>
      </c>
      <c r="B25" s="10">
        <v>10102</v>
      </c>
      <c r="C25" s="2" t="e">
        <f t="shared" si="0"/>
        <v>#N/A</v>
      </c>
    </row>
    <row r="26" spans="1:14" ht="14.5" x14ac:dyDescent="0.35">
      <c r="A26" s="7">
        <v>10100</v>
      </c>
      <c r="B26" s="10">
        <v>10106</v>
      </c>
      <c r="C26" s="2" t="e">
        <f t="shared" si="0"/>
        <v>#N/A</v>
      </c>
    </row>
    <row r="27" spans="1:14" ht="14.5" x14ac:dyDescent="0.35">
      <c r="A27" s="7">
        <v>10108</v>
      </c>
      <c r="B27" s="10">
        <v>10110</v>
      </c>
      <c r="C27" s="2" t="e">
        <f t="shared" si="0"/>
        <v>#N/A</v>
      </c>
    </row>
    <row r="28" spans="1:14" ht="14.5" x14ac:dyDescent="0.35">
      <c r="A28" s="7">
        <v>10102</v>
      </c>
      <c r="B28" s="10">
        <v>10104</v>
      </c>
      <c r="C28" s="2" t="e">
        <f t="shared" si="0"/>
        <v>#N/A</v>
      </c>
    </row>
    <row r="29" spans="1:14" ht="14.5" x14ac:dyDescent="0.35">
      <c r="A29" s="7">
        <v>10106</v>
      </c>
      <c r="B29" s="10">
        <v>10108</v>
      </c>
      <c r="C29" s="2" t="e">
        <f t="shared" si="0"/>
        <v>#N/A</v>
      </c>
    </row>
    <row r="30" spans="1:14" ht="14.5" x14ac:dyDescent="0.35">
      <c r="A30" s="7">
        <v>10102</v>
      </c>
      <c r="B30" s="10">
        <v>10106</v>
      </c>
      <c r="C30" s="2" t="e">
        <f t="shared" si="0"/>
        <v>#N/A</v>
      </c>
    </row>
    <row r="31" spans="1:14" ht="14.5" x14ac:dyDescent="0.35">
      <c r="A31" s="7">
        <v>10110</v>
      </c>
      <c r="B31" s="10">
        <v>10114</v>
      </c>
      <c r="C31" s="2" t="e">
        <f t="shared" si="0"/>
        <v>#N/A</v>
      </c>
    </row>
    <row r="32" spans="1:14" ht="14.5" x14ac:dyDescent="0.35">
      <c r="A32" s="7">
        <v>10104</v>
      </c>
      <c r="B32" s="10">
        <v>10106</v>
      </c>
      <c r="C32" s="2" t="e">
        <f t="shared" si="0"/>
        <v>#N/A</v>
      </c>
    </row>
    <row r="33" spans="1:3" ht="14.5" x14ac:dyDescent="0.35">
      <c r="A33" s="7">
        <v>10110</v>
      </c>
      <c r="B33" s="10">
        <v>10112</v>
      </c>
      <c r="C33" s="2" t="e">
        <f t="shared" si="0"/>
        <v>#N/A</v>
      </c>
    </row>
    <row r="34" spans="1:3" ht="14.5" x14ac:dyDescent="0.35">
      <c r="A34" s="7">
        <v>10100</v>
      </c>
      <c r="B34" s="10">
        <v>10114</v>
      </c>
      <c r="C34" s="2" t="e">
        <f t="shared" si="0"/>
        <v>#N/A</v>
      </c>
    </row>
    <row r="35" spans="1:3" ht="14.5" x14ac:dyDescent="0.35">
      <c r="A35" s="8">
        <v>10112</v>
      </c>
      <c r="B35" s="11">
        <v>10116</v>
      </c>
      <c r="C35" s="2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vaishnavi bhat</cp:lastModifiedBy>
  <dcterms:created xsi:type="dcterms:W3CDTF">2015-02-10T17:33:11Z</dcterms:created>
  <dcterms:modified xsi:type="dcterms:W3CDTF">2023-12-10T10:24:21Z</dcterms:modified>
</cp:coreProperties>
</file>